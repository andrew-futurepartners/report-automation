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pier\PycharmProjects\ReportAutomation\"/>
    </mc:Choice>
  </mc:AlternateContent>
  <xr:revisionPtr revIDLastSave="0" documentId="13_ncr:1_{923DBA33-1AE1-4FC9-ABC8-E0128AE5B759}" xr6:coauthVersionLast="47" xr6:coauthVersionMax="47" xr10:uidLastSave="{00000000-0000-0000-0000-000000000000}"/>
  <bookViews>
    <workbookView xWindow="18912" yWindow="-12732" windowWidth="17184" windowHeight="9816" xr2:uid="{00000000-000D-0000-FFFF-FFFF00000000}"/>
  </bookViews>
  <sheets>
    <sheet name="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<sst xmlns="http://schemas.openxmlformats.org/spreadsheetml/2006/main" count="43" uniqueCount="25">
  <si>
    <t>Demographics &amp; Origins</t>
  </si>
  <si>
    <t>qGeneration by Year BANNER</t>
  </si>
  <si>
    <t>Column %</t>
  </si>
  <si>
    <t>Total</t>
  </si>
  <si>
    <t>Gen Z</t>
  </si>
  <si>
    <t>Millennials</t>
  </si>
  <si>
    <t>Gen X</t>
  </si>
  <si>
    <t>Boomers+</t>
  </si>
  <si>
    <t>Base</t>
  </si>
  <si>
    <t>qAge by Year BANNER</t>
  </si>
  <si>
    <t>Mean</t>
  </si>
  <si>
    <t>qAge</t>
  </si>
  <si>
    <t>qGender by Year BANNER</t>
  </si>
  <si>
    <t>Female</t>
  </si>
  <si>
    <t>Male</t>
  </si>
  <si>
    <t>Non-binary/other</t>
  </si>
  <si>
    <t>qIncome by Year BANNER</t>
  </si>
  <si>
    <t>$200,000+</t>
  </si>
  <si>
    <t>$150,000 to $199,999</t>
  </si>
  <si>
    <t>$100,000 to $149,999</t>
  </si>
  <si>
    <t>$50,000 to $99,999</t>
  </si>
  <si>
    <t>$0-$49,999</t>
  </si>
  <si>
    <t>Day-Tripper</t>
  </si>
  <si>
    <t>VFR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</si>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</sst>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\ \ \ \ \ \ \ \ "/>
    <numFmt numFmtId="165" formatCode="0\ \ \ \ \ \ \ \ "/>
    <numFmt numFmtId="166" formatCode="0.0\ \ \ \ \ \ \ \ "/>
    <numFmt numFmtId="167" formatCode="0.0%\ \↑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quotePrefix="1"/>
    <xf numFmtId="0" fontId="1" fillId="0" borderId="0" xfId="0" quotePrefix="1" applyFont="1"/>
    <xf numFmtId="0" fontId="0" fillId="0" borderId="0" xfId="0" quotePrefix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E11" totalsRowShown="0">
  <tableColumns count="5">
    <tableColumn id="1" xr3:uid="{00000000-0010-0000-0000-000001000000}" name="Column %"/>
    <tableColumn id="2" xr3:uid="{00000000-0010-0000-0000-000002000000}" name="Total"/>
    <tableColumn id="3" xr3:uid="{00000000-0010-0000-0000-000003000000}" name="Hotel"/>
    <tableColumn id="4" xr3:uid="{00000000-0010-0000-0000-000004000000}" name="VFR"/>
    <tableColumn id="5" xr3:uid="{00000000-0010-0000-0000-000005000000}" name="Day-Tripper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6:E18" totalsRowShown="0">
  <tableColumns count="5">
    <tableColumn id="1" xr3:uid="{00000000-0010-0000-0100-000001000000}" name="Mean"/>
    <tableColumn id="2" xr3:uid="{00000000-0010-0000-0100-000002000000}" name="Total"/>
    <tableColumn id="3" xr3:uid="{00000000-0010-0000-0100-000003000000}" name="Hotel"/>
    <tableColumn id="4" xr3:uid="{00000000-0010-0000-0100-000004000000}" name="VFR"/>
    <tableColumn id="5" xr3:uid="{00000000-0010-0000-0100-000005000000}" name="Day-Tripper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3:E27" totalsRowShown="0">
  <tableColumns count="5">
    <tableColumn id="1" xr3:uid="{00000000-0010-0000-0200-000001000000}" name="Column %"/>
    <tableColumn id="2" xr3:uid="{00000000-0010-0000-0200-000002000000}" name="Total"/>
    <tableColumn id="3" xr3:uid="{00000000-0010-0000-0200-000003000000}" name="Hotel"/>
    <tableColumn id="4" xr3:uid="{00000000-0010-0000-0200-000004000000}" name="VFR"/>
    <tableColumn id="5" xr3:uid="{00000000-0010-0000-0200-000005000000}" name="Day-Tripper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2:E39" totalsRowShown="0">
  <tableColumns count="5">
    <tableColumn id="1" xr3:uid="{00000000-0010-0000-0300-000001000000}" name="Column %"/>
    <tableColumn id="2" xr3:uid="{00000000-0010-0000-0300-000002000000}" name="Total"/>
    <tableColumn id="3" xr3:uid="{00000000-0010-0000-0300-000003000000}" name="Hotel"/>
    <tableColumn id="4" xr3:uid="{00000000-0010-0000-0300-000004000000}" name="VFR"/>
    <tableColumn id="5" xr3:uid="{00000000-0010-0000-0300-000005000000}" name="Day-Tripper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C1" sqref="C1:C1048576"/>
    </sheetView>
  </sheetViews>
  <sheetFormatPr defaultRowHeight="14.4" x14ac:dyDescent="0.3"/>
  <cols>
    <col min="1" max="1" width="69.21875" bestFit="1" customWidth="1"/>
    <col min="2" max="5" width="12.6640625" bestFit="1" customWidth="1"/>
  </cols>
  <sheetData>
    <row r="1" spans="1:5" x14ac:dyDescent="0.3">
      <c r="A1" s="1" t="s">
        <v>0</v>
      </c>
    </row>
    <row r="5" spans="1:5" x14ac:dyDescent="0.3">
      <c r="A5" t="s">
        <v>1</v>
      </c>
    </row>
    <row r="6" spans="1:5" x14ac:dyDescent="0.3">
      <c r="A6" s="2" t="s">
        <v>2</v>
      </c>
      <c r="B6" s="2" t="s">
        <v>3</v>
      </c>
      <c r="C6" s="2" t="s">
        <v>24</v>
      </c>
      <c r="D6" s="2" t="s">
        <v>23</v>
      </c>
      <c r="E6" s="2" t="s">
        <v>22</v>
      </c>
    </row>
    <row r="7" spans="1:5" x14ac:dyDescent="0.3">
      <c r="A7" t="s">
        <v>4</v>
      </c>
      <c r="B7" s="3">
        <v>0.1</v>
      </c>
      <c r="C7" s="3">
        <v>0.15357106864889999</v>
      </c>
      <c r="D7" s="3">
        <v>0.15312008969829999</v>
      </c>
      <c r="E7" s="3">
        <v>0.1186159586303</v>
      </c>
    </row>
    <row r="8" spans="1:5" x14ac:dyDescent="0.3">
      <c r="A8" t="s">
        <v>5</v>
      </c>
      <c r="B8" s="3">
        <v>0.15</v>
      </c>
      <c r="C8" s="3">
        <v>0.34012914180629999</v>
      </c>
      <c r="D8" s="3">
        <v>0.2963440916226</v>
      </c>
      <c r="E8" s="3">
        <v>0.3365679727809</v>
      </c>
    </row>
    <row r="9" spans="1:5" x14ac:dyDescent="0.3">
      <c r="A9" t="s">
        <v>6</v>
      </c>
      <c r="B9" s="3">
        <v>0.3</v>
      </c>
      <c r="C9" s="3">
        <v>0.2374894068625</v>
      </c>
      <c r="D9" s="3">
        <v>0.227643971561</v>
      </c>
      <c r="E9" s="3">
        <v>0.28604065134000001</v>
      </c>
    </row>
    <row r="10" spans="1:5" x14ac:dyDescent="0.3">
      <c r="A10" t="s">
        <v>7</v>
      </c>
      <c r="B10" s="3">
        <v>0.4</v>
      </c>
      <c r="C10" s="3">
        <v>0.26881038268219998</v>
      </c>
      <c r="D10" s="3">
        <v>0.32289184711820001</v>
      </c>
      <c r="E10" s="3">
        <v>0.25877541724879999</v>
      </c>
    </row>
    <row r="11" spans="1:5" x14ac:dyDescent="0.3">
      <c r="A11" t="s">
        <v>8</v>
      </c>
      <c r="B11" s="4">
        <v>200</v>
      </c>
      <c r="C11" s="4">
        <v>548</v>
      </c>
      <c r="D11" s="4">
        <v>600</v>
      </c>
      <c r="E11" s="4">
        <v>300</v>
      </c>
    </row>
    <row r="15" spans="1:5" x14ac:dyDescent="0.3">
      <c r="A15" t="s">
        <v>9</v>
      </c>
    </row>
    <row r="16" spans="1:5" x14ac:dyDescent="0.3">
      <c r="A16" s="2" t="s">
        <v>10</v>
      </c>
      <c r="B16" s="2" t="s">
        <v>3</v>
      </c>
      <c r="C16" s="2" t="s">
        <v>24</v>
      </c>
      <c r="D16" s="2" t="s">
        <v>23</v>
      </c>
      <c r="E16" s="2" t="s">
        <v>22</v>
      </c>
    </row>
    <row r="17" spans="1:5" x14ac:dyDescent="0.3">
      <c r="A17" t="s">
        <v>11</v>
      </c>
      <c r="B17" s="5">
        <v>59</v>
      </c>
      <c r="C17" s="5">
        <v>45.346915327769999</v>
      </c>
      <c r="D17" s="5">
        <v>46.756388339639997</v>
      </c>
      <c r="E17" s="5">
        <v>47.38078707268</v>
      </c>
    </row>
    <row r="18" spans="1:5" x14ac:dyDescent="0.3">
      <c r="A18" t="s">
        <v>8</v>
      </c>
      <c r="B18" s="4">
        <v>300</v>
      </c>
      <c r="C18" s="4">
        <v>548</v>
      </c>
      <c r="D18" s="4">
        <v>600</v>
      </c>
      <c r="E18" s="4">
        <v>300</v>
      </c>
    </row>
    <row r="22" spans="1:5" x14ac:dyDescent="0.3">
      <c r="A22" t="s">
        <v>12</v>
      </c>
    </row>
    <row r="23" spans="1:5" x14ac:dyDescent="0.3">
      <c r="A23" s="2" t="s">
        <v>2</v>
      </c>
      <c r="B23" s="2" t="s">
        <v>3</v>
      </c>
      <c r="C23" s="2" t="s">
        <v>24</v>
      </c>
      <c r="D23" s="2" t="s">
        <v>23</v>
      </c>
      <c r="E23" s="2" t="s">
        <v>22</v>
      </c>
    </row>
    <row r="24" spans="1:5" x14ac:dyDescent="0.3">
      <c r="A24" t="s">
        <v>13</v>
      </c>
      <c r="B24" s="3">
        <v>0.48</v>
      </c>
      <c r="C24" s="3">
        <v>0.55944602856579995</v>
      </c>
      <c r="D24" s="3">
        <v>0.46035880751480002</v>
      </c>
      <c r="E24" s="3">
        <v>0.55785412738520002</v>
      </c>
    </row>
    <row r="25" spans="1:5" x14ac:dyDescent="0.3">
      <c r="A25" t="s">
        <v>14</v>
      </c>
      <c r="B25" s="3">
        <f>1-B24</f>
        <v>0.52</v>
      </c>
      <c r="C25" s="3">
        <v>0.43342524927350001</v>
      </c>
      <c r="D25" s="3">
        <v>0.501934270583</v>
      </c>
      <c r="E25" s="3">
        <v>0.44214587261479998</v>
      </c>
    </row>
    <row r="26" spans="1:5" x14ac:dyDescent="0.3">
      <c r="A26" t="s">
        <v>15</v>
      </c>
      <c r="B26" s="3">
        <v>1.836087967741E-2</v>
      </c>
      <c r="C26" s="3">
        <v>7.1287221606449996E-3</v>
      </c>
      <c r="D26" s="6">
        <v>3.77069219022E-2</v>
      </c>
      <c r="E26" s="3">
        <v>0</v>
      </c>
    </row>
    <row r="27" spans="1:5" x14ac:dyDescent="0.3">
      <c r="A27" t="s">
        <v>8</v>
      </c>
      <c r="B27" s="4">
        <v>400</v>
      </c>
      <c r="C27" s="4">
        <v>547</v>
      </c>
      <c r="D27" s="4">
        <v>599</v>
      </c>
      <c r="E27" s="4">
        <v>300</v>
      </c>
    </row>
    <row r="31" spans="1:5" x14ac:dyDescent="0.3">
      <c r="A31" t="s">
        <v>16</v>
      </c>
    </row>
    <row r="32" spans="1:5" x14ac:dyDescent="0.3">
      <c r="A32" s="2" t="s">
        <v>2</v>
      </c>
      <c r="B32" s="2" t="s">
        <v>3</v>
      </c>
      <c r="C32" s="2" t="s">
        <v>24</v>
      </c>
      <c r="D32" s="2" t="s">
        <v>23</v>
      </c>
      <c r="E32" s="2" t="s">
        <v>22</v>
      </c>
    </row>
    <row r="33" spans="1:5" x14ac:dyDescent="0.3">
      <c r="A33" t="s">
        <v>17</v>
      </c>
      <c r="B33" s="3">
        <v>0.1</v>
      </c>
      <c r="C33" s="3">
        <v>7.6346674679570001E-2</v>
      </c>
      <c r="D33" s="3">
        <v>8.6846942042349995E-2</v>
      </c>
      <c r="E33" s="3">
        <v>9.7384173936400004E-2</v>
      </c>
    </row>
    <row r="34" spans="1:5" x14ac:dyDescent="0.3">
      <c r="A34" t="s">
        <v>18</v>
      </c>
      <c r="B34" s="3">
        <v>0.1</v>
      </c>
      <c r="C34" s="3">
        <v>0.13105164376260001</v>
      </c>
      <c r="D34" s="3">
        <v>0.160748644262</v>
      </c>
      <c r="E34" s="3">
        <v>0.1142383196296</v>
      </c>
    </row>
    <row r="35" spans="1:5" x14ac:dyDescent="0.3">
      <c r="A35" t="s">
        <v>19</v>
      </c>
      <c r="B35" s="3">
        <v>0.1</v>
      </c>
      <c r="C35" s="3">
        <v>0.2042246908425</v>
      </c>
      <c r="D35" s="3">
        <v>0.2229355540713</v>
      </c>
      <c r="E35" s="3">
        <v>0.19140153880460001</v>
      </c>
    </row>
    <row r="36" spans="1:5" x14ac:dyDescent="0.3">
      <c r="A36" t="s">
        <v>20</v>
      </c>
      <c r="B36" s="3">
        <v>0.1</v>
      </c>
      <c r="C36" s="3">
        <v>0.37195872405460001</v>
      </c>
      <c r="D36" s="3">
        <v>0.325106958876</v>
      </c>
      <c r="E36" s="3">
        <v>0.34895439491469998</v>
      </c>
    </row>
    <row r="37" spans="1:5" x14ac:dyDescent="0.3">
      <c r="A37" t="s">
        <v>21</v>
      </c>
      <c r="B37" s="3">
        <v>0.4</v>
      </c>
      <c r="C37" s="3">
        <v>0.2164182666608</v>
      </c>
      <c r="D37" s="3">
        <v>0.2043619007485</v>
      </c>
      <c r="E37" s="3">
        <v>0.24802157271479999</v>
      </c>
    </row>
    <row r="38" spans="1:5" x14ac:dyDescent="0.3">
      <c r="A38" t="s">
        <v>10</v>
      </c>
      <c r="B38" s="5">
        <v>400394</v>
      </c>
      <c r="C38" s="5">
        <v>97038.81992029</v>
      </c>
      <c r="D38" s="5">
        <v>102859.4148476</v>
      </c>
      <c r="E38" s="5">
        <v>95765.852009499999</v>
      </c>
    </row>
    <row r="39" spans="1:5" x14ac:dyDescent="0.3">
      <c r="A39" t="s">
        <v>8</v>
      </c>
      <c r="B39" s="4">
        <v>500</v>
      </c>
      <c r="C39" s="4">
        <v>540</v>
      </c>
      <c r="D39" s="4">
        <v>592</v>
      </c>
      <c r="E39" s="4">
        <v>300</v>
      </c>
    </row>
  </sheetData>
  <dataValidations count="5">
    <dataValidation allowBlank="1" showErrorMessage="1" prompt="3925c85b-6e5a-41be-addf-0fed6ba47d44" sqref="A5 E11" xr:uid="{00000000-0002-0000-0000-000000000000}"/>
    <dataValidation allowBlank="1" showErrorMessage="1" prompt="ce7f8302-a5d6-4923-b877-f1debbafa2ad" sqref="A15 E18" xr:uid="{00000000-0002-0000-0000-000001000000}"/>
    <dataValidation allowBlank="1" showErrorMessage="1" prompt="41b2dfdf-edcc-4968-9672-eba95ca006ea" sqref="A22 E27" xr:uid="{00000000-0002-0000-0000-000002000000}"/>
    <dataValidation allowBlank="1" showErrorMessage="1" prompt="7f4bd459-99b0-4393-8f18-c7c9656d783e" sqref="A31 E39" xr:uid="{00000000-0002-0000-0000-000003000000}"/>
    <dataValidation allowBlank="1" error="dddddddd-dddd-dddd-dddd-dddddddddddd" sqref="A1" xr:uid="{00000000-0002-0000-0000-000012000000}"/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rayOfPairOfGuidQQauh xmlns:xsd="http://www.w3.org/2001/XMLSchema" xmlns:xsi="http://www.w3.org/2001/XMLSchema-instance">
  <PairOfGuidQQauh>
    <First>3925c85b-6e5a-41be-addf-0fed6ba47d44</First>
    <Second>
      <QQa>qGeneration by Year BANNER</QQa>
      <QQb>3925c85b-6e5a-41be-addf-0fed6ba47d44</QQb>
      <QQc>4</QQc>
      <QQd>6</QQd>
      <QQe xsi:nil="true"/>
    </Second>
  </PairOfGuidQQauh>
  <PairOfGuidQQauh>
    <First>ce7f8302-a5d6-4923-b877-f1debbafa2ad</First>
    <Second>
      <QQa>qAge by Year BANNER</QQa>
      <QQb>ce7f8302-a5d6-4923-b877-f1debbafa2ad</QQb>
      <QQc>4</QQc>
      <QQd>3</QQd>
      <QQe xsi:nil="true"/>
    </Second>
  </PairOfGuidQQauh>
  <PairOfGuidQQauh>
    <First>41b2dfdf-edcc-4968-9672-eba95ca006ea</First>
    <Second>
      <QQa>qGender by Year BANNER</QQa>
      <QQb>41b2dfdf-edcc-4968-9672-eba95ca006ea</QQb>
      <QQc>4</QQc>
      <QQd>5</QQd>
      <QQe xsi:nil="true"/>
    </Second>
  </PairOfGuidQQauh>
  <PairOfGuidQQauh>
    <First>7f4bd459-99b0-4393-8f18-c7c9656d783e</First>
    <Second>
      <QQa>qIncome by Year BANNER</QQa>
      <QQb>7f4bd459-99b0-4393-8f18-c7c9656d783e</QQb>
      <QQc>4</QQc>
      <QQd>8</QQd>
      <QQe xsi:nil="true"/>
    </Second>
  </PairOfGuidQQauh>
  <PairOfGuidQQauh>
    <First>a3935a88-2388-457d-bf4e-951558154a49</First>
    <Second>
      <QQa>qMSA - Categorical by Year BANNER</QQa>
      <QQb>a3935a88-2388-457d-bf4e-951558154a49</QQb>
      <QQc>4</QQc>
      <QQd>280</QQd>
      <QQe xsi:nil="true"/>
    </Second>
  </PairOfGuidQQauh>
  <PairOfGuidQQauh>
    <First>294c9305-2fe8-4718-898a-1d982f549511</First>
    <Second>
      <QQa>QState: HIDDEN - STATE BY ZIP CODE by Year BANNER</QQa>
      <QQb>294c9305-2fe8-4718-898a-1d982f549511</QQb>
      <QQc>4</QQc>
      <QQd>53</QQd>
      <QQe xsi:nil="true"/>
    </Second>
  </PairOfGuidQQauh>
  <PairOfGuidQQauh>
    <First>ff024313-57a2-49ea-9ee0-cc8420c2759f</First>
    <Second>
      <QQa>QRegion: HIDDEN - REGION BY ZIP CODE by Year BANNER</QQa>
      <QQb>ff024313-57a2-49ea-9ee0-cc8420c2759f</QQb>
      <QQc>4</QQc>
      <QQd>6</QQd>
      <QQe xsi:nil="true"/>
    </Second>
  </PairOfGuidQQauh>
  <PairOfGuidQQauh>
    <First>7e2bce1d-e999-407c-a9e9-635af9d1827f</First>
    <Second>
      <QQa>QDivision: HIDDEN - DIVISION BY ZIP CODE by Year BANNER</QQa>
      <QQb>7e2bce1d-e999-407c-a9e9-635af9d1827f</QQb>
      <QQc>4</QQc>
      <QQd>11</QQd>
      <QQe xsi:nil="true"/>
    </Second>
  </PairOfGuidQQauh>
  <PairOfGuidQQauh>
    <First>4990e851-0c1f-4150-ba65-309bea1cf358</First>
    <Second>
      <QQa>qEducation by Year BANNER</QQa>
      <QQb>4990e851-0c1f-4150-ba65-309bea1cf358</QQb>
      <QQc>4</QQc>
      <QQd>10</QQd>
      <QQe xsi:nil="true"/>
    </Second>
  </PairOfGuidQQauh>
  <PairOfGuidQQauh>
    <First>08ab80b0-6b52-4029-a7c2-c61c91a8a3c4</First>
    <Second>
      <QQa>qEthnicity by Year BANNER</QQa>
      <QQb>08ab80b0-6b52-4029-a7c2-c61c91a8a3c4</QQb>
      <QQc>4</QQc>
      <QQd>10</QQd>
      <QQe xsi:nil="true"/>
    </Second>
  </PairOfGuidQQauh>
  <PairOfGuidQQauh>
    <First>1173c941-bed8-4de3-b792-34d1642fc1af</First>
    <Second>
      <QQa>qEmployment by Year BANNER</QQa>
      <QQb>1173c941-bed8-4de3-b792-34d1642fc1af</QQb>
      <QQc>4</QQc>
      <QQd>7</QQd>
      <QQe xsi:nil="true"/>
    </Second>
  </PairOfGuidQQauh>
  <PairOfGuidQQauh>
    <First>d7beaf27-c005-401f-aad1-70f2c3e380d3</First>
    <Second>
      <QQa>qMaritalStatus by Year BANNER</QQa>
      <QQb>d7beaf27-c005-401f-aad1-70f2c3e380d3</QQb>
      <QQc>4</QQc>
      <QQd>6</QQd>
      <QQe xsi:nil="true"/>
    </Second>
  </PairOfGuidQQauh>
  <PairOfGuidQQauh>
    <First>e44d81f3-665b-4170-8442-9baca0cefdfa</First>
    <Second>
      <QQa>qChildrenHH by Year BANNER</QQa>
      <QQb>e44d81f3-665b-4170-8442-9baca0cefdfa</QQb>
      <QQc>4</QQc>
      <QQd>4</QQd>
      <QQe xsi:nil="true"/>
    </Second>
  </PairOfGuidQQauh>
  <PairOfGuidQQauh>
    <First>9313581e-a7e8-4079-a61d-907685ecbc1e</First>
    <Second>
      <QQa>qOrientation by Year BANNER</QQa>
      <QQb>9313581e-a7e8-4079-a61d-907685ecbc1e</QQb>
      <QQc>4</QQc>
      <QQd>4</QQd>
      <QQe xsi:nil="true"/>
    </Second>
  </PairOfGuidQQauh>
  <PairOfGuidQQauh>
    <First>938819d0-ca5e-4176-b955-bca0109bc7b3</First>
    <Second>
      <QQa>qPolitical by Year BANNER</QQa>
      <QQb>938819d0-ca5e-4176-b955-bca0109bc7b3</QQb>
      <QQc>4</QQc>
      <QQd>8</QQd>
      <QQe xsi:nil="true"/>
    </Second>
  </PairOfGuidQQauh>
  <PairOfGuidQQauh>
    <First>9edf7b47-1bda-464f-9db4-4155e3aae1c1</First>
    <Second>
      <QQa>qAccessibility by Year BANNER</QQa>
      <QQb>9edf7b47-1bda-464f-9db4-4155e3aae1c1</QQb>
      <QQc>4</QQc>
      <QQd>4</QQd>
      <QQe xsi:nil="true"/>
    </Second>
  </PairOfGuidQQauh>
  <PairOfGuidQQauh>
    <First>8a83939d-769e-49a0-b0a5-7c1262903486</First>
    <Second>
      <QQa>qImpairment by Year BANNER</QQa>
      <QQb>8a83939d-769e-49a0-b0a5-7c1262903486</QQb>
      <QQc>4</QQc>
      <QQd>8</QQd>
      <QQe xsi:nil="true"/>
    </Second>
  </PairOfGuidQQauh>
  <PairOfGuidQQauh>
    <First>b5857c8b-951d-4031-9f43-3085cb2a2895</First>
    <Second>
      <QQa>qImpairment REBASED by Year BANNER</QQa>
      <QQb>b5857c8b-951d-4031-9f43-3085cb2a2895</QQb>
      <QQc>4</QQc>
      <QQd>8</QQd>
      <QQe xsi:nil="true"/>
    </Second>
  </PairOfGuidQQauh>
</ArrayOfPairOfGuidQQauh>
</file>

<file path=customXml/itemProps1.xml><?xml version="1.0" encoding="utf-8"?>
<ds:datastoreItem xmlns:ds="http://schemas.openxmlformats.org/officeDocument/2006/customXml" ds:itemID="{D8D02894-1CA5-4F5B-A26E-36702105D96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</dc:creator>
  <cp:lastModifiedBy>Andrew P</cp:lastModifiedBy>
  <dcterms:created xsi:type="dcterms:W3CDTF">2025-08-12T19:06:12Z</dcterms:created>
  <dcterms:modified xsi:type="dcterms:W3CDTF">2025-10-01T15:41:46Z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91525d07-c8cb-4965-977d-9dafb8b7b7a9">
    <vt:lpwstr>2025-06-12 12:06:09 -07:00|3,FromBottomOfOneToTopOfNext|OneWorksheet</vt:lpwstr>
  </property>
  <property fmtid="{D5CDD505-2E9C-101B-9397-08002B2CF9AE}" pid="3" name="Item_3925c85b-6e5a-41be-addf-0fed6ba47d44">
    <vt:lpwstr>1x5-5x11|Tables</vt:lpwstr>
  </property>
  <property fmtid="{D5CDD505-2E9C-101B-9397-08002B2CF9AE}" pid="4" name="Item_ce7f8302-a5d6-4923-b877-f1debbafa2ad">
    <vt:lpwstr>1x15-5x18|Tables</vt:lpwstr>
  </property>
  <property fmtid="{D5CDD505-2E9C-101B-9397-08002B2CF9AE}" pid="5" name="Item_41b2dfdf-edcc-4968-9672-eba95ca006ea">
    <vt:lpwstr>1x22-5x27|Tables</vt:lpwstr>
  </property>
  <property fmtid="{D5CDD505-2E9C-101B-9397-08002B2CF9AE}" pid="6" name="Item_7f4bd459-99b0-4393-8f18-c7c9656d783e">
    <vt:lpwstr>1x31-5x39|Tables</vt:lpwstr>
  </property>
  <property fmtid="{D5CDD505-2E9C-101B-9397-08002B2CF9AE}" pid="7" name="Item_a3935a88-2388-457d-bf4e-951558154a49">
    <vt:lpwstr>1x43-5x323|Tables</vt:lpwstr>
  </property>
  <property fmtid="{D5CDD505-2E9C-101B-9397-08002B2CF9AE}" pid="8" name="Item_294c9305-2fe8-4718-898a-1d982f549511">
    <vt:lpwstr>1x327-5x380|Tables</vt:lpwstr>
  </property>
  <property fmtid="{D5CDD505-2E9C-101B-9397-08002B2CF9AE}" pid="9" name="Item_ff024313-57a2-49ea-9ee0-cc8420c2759f">
    <vt:lpwstr>1x384-5x390|Tables</vt:lpwstr>
  </property>
  <property fmtid="{D5CDD505-2E9C-101B-9397-08002B2CF9AE}" pid="10" name="Item_7e2bce1d-e999-407c-a9e9-635af9d1827f">
    <vt:lpwstr>1x394-5x405|Tables</vt:lpwstr>
  </property>
  <property fmtid="{D5CDD505-2E9C-101B-9397-08002B2CF9AE}" pid="11" name="Item_4990e851-0c1f-4150-ba65-309bea1cf358">
    <vt:lpwstr>1x409-5x419|Tables</vt:lpwstr>
  </property>
  <property fmtid="{D5CDD505-2E9C-101B-9397-08002B2CF9AE}" pid="12" name="Item_08ab80b0-6b52-4029-a7c2-c61c91a8a3c4">
    <vt:lpwstr>1x423-5x433|Tables</vt:lpwstr>
  </property>
  <property fmtid="{D5CDD505-2E9C-101B-9397-08002B2CF9AE}" pid="13" name="Item_1173c941-bed8-4de3-b792-34d1642fc1af">
    <vt:lpwstr>1x437-5x444|Tables</vt:lpwstr>
  </property>
  <property fmtid="{D5CDD505-2E9C-101B-9397-08002B2CF9AE}" pid="14" name="Item_d7beaf27-c005-401f-aad1-70f2c3e380d3">
    <vt:lpwstr>1x448-5x454|Tables</vt:lpwstr>
  </property>
  <property fmtid="{D5CDD505-2E9C-101B-9397-08002B2CF9AE}" pid="15" name="Item_e44d81f3-665b-4170-8442-9baca0cefdfa">
    <vt:lpwstr>1x458-5x462|Tables</vt:lpwstr>
  </property>
  <property fmtid="{D5CDD505-2E9C-101B-9397-08002B2CF9AE}" pid="16" name="Item_9313581e-a7e8-4079-a61d-907685ecbc1e">
    <vt:lpwstr>1x466-5x470|Tables</vt:lpwstr>
  </property>
  <property fmtid="{D5CDD505-2E9C-101B-9397-08002B2CF9AE}" pid="17" name="Item_938819d0-ca5e-4176-b955-bca0109bc7b3">
    <vt:lpwstr>1x474-5x482|Tables</vt:lpwstr>
  </property>
  <property fmtid="{D5CDD505-2E9C-101B-9397-08002B2CF9AE}" pid="18" name="Item_9edf7b47-1bda-464f-9db4-4155e3aae1c1">
    <vt:lpwstr>1x486-5x490|Tables</vt:lpwstr>
  </property>
  <property fmtid="{D5CDD505-2E9C-101B-9397-08002B2CF9AE}" pid="19" name="Item_8a83939d-769e-49a0-b0a5-7c1262903486">
    <vt:lpwstr>1x494-5x502|Tables</vt:lpwstr>
  </property>
  <property fmtid="{D5CDD505-2E9C-101B-9397-08002B2CF9AE}" pid="20" name="Item_b5857c8b-951d-4031-9f43-3085cb2a2895">
    <vt:lpwstr>1x506-5x514|Tables</vt:lpwstr>
  </property>
</Properties>
</file>